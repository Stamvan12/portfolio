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Payroll Feb 2026" sheetId="2" state="visible" r:id="rId3"/>
    <sheet name="Slip Gaji - Siswoyo" sheetId="3" state="visible" r:id="rId4"/>
    <sheet name="Slip Gaji - Anggun" sheetId="4" state="visible" r:id="rId5"/>
    <sheet name="Slip Gaji - Suprapto" sheetId="5" state="visible" r:id="rId6"/>
    <sheet name="Perhitungan Lembur" sheetId="6" state="visible" r:id="rId7"/>
    <sheet name="BPJS &amp; PPh 21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<sst xmlns="http://schemas.openxmlformats.org/spreadsheetml/2006/main" count="412" uniqueCount="215">
  <si>
    <t xml:space="preserve">PAYROLL BULAN FEBRUARI 2026</t>
  </si>
  <si>
    <t xml:space="preserve">PERUSAHAAN B</t>
  </si>
  <si>
    <t xml:space="preserve">INFORMASI PERUSAHAAN</t>
  </si>
  <si>
    <t xml:space="preserve">Alamat</t>
  </si>
  <si>
    <t xml:space="preserve">: Jogja</t>
  </si>
  <si>
    <t xml:space="preserve">Berdiri</t>
  </si>
  <si>
    <t xml:space="preserve">: 1 Januari 2001</t>
  </si>
  <si>
    <t xml:space="preserve">Waktu Kerja</t>
  </si>
  <si>
    <t xml:space="preserve">: 6 hari/minggu</t>
  </si>
  <si>
    <t xml:space="preserve">Total Karyawan</t>
  </si>
  <si>
    <t xml:space="preserve">: 3 Orang</t>
  </si>
  <si>
    <t xml:space="preserve">KETENTUAN PERHITUNGAN</t>
  </si>
  <si>
    <t xml:space="preserve">Upah Harian</t>
  </si>
  <si>
    <t xml:space="preserve">: (Gaji Pokok + Tunjangan Tetap) / 25</t>
  </si>
  <si>
    <t xml:space="preserve">Upah Lembur/Jam</t>
  </si>
  <si>
    <t xml:space="preserve">: (Gaji Pokok + Tunjangan Tetap) / 173</t>
  </si>
  <si>
    <t xml:space="preserve">Lembur Hari Kerja</t>
  </si>
  <si>
    <t xml:space="preserve">: 1.5x (jam pertama), 2x (jam berikutnya)</t>
  </si>
  <si>
    <t xml:space="preserve">Lembur Hari Libur</t>
  </si>
  <si>
    <t xml:space="preserve">: 2x (7 jam pertama), 3x (jam ke-8), 4x (jam ke-9+)</t>
  </si>
  <si>
    <t xml:space="preserve">JKK</t>
  </si>
  <si>
    <t xml:space="preserve">: 1.74% (Tingkat Risiko Sangat Tinggi)</t>
  </si>
  <si>
    <t xml:space="preserve">JKM</t>
  </si>
  <si>
    <t xml:space="preserve">: 0.30%</t>
  </si>
  <si>
    <t xml:space="preserve">JHT</t>
  </si>
  <si>
    <t xml:space="preserve">: 2% (Perusahaan), 2% (Karyawan)</t>
  </si>
  <si>
    <t xml:space="preserve">JP</t>
  </si>
  <si>
    <t xml:space="preserve">: 1% (Perusahaan), 1% (Karyawan)</t>
  </si>
  <si>
    <t xml:space="preserve">BPJS Kesehatan</t>
  </si>
  <si>
    <t xml:space="preserve">: 4% (Perusahaan), 1% (Karyawan)</t>
  </si>
  <si>
    <t xml:space="preserve">RINGKASAN GAJI</t>
  </si>
  <si>
    <t xml:space="preserve">No</t>
  </si>
  <si>
    <t xml:space="preserve">Nama</t>
  </si>
  <si>
    <t xml:space="preserve">Gaji Pokok</t>
  </si>
  <si>
    <t xml:space="preserve">Tunjangan</t>
  </si>
  <si>
    <t xml:space="preserve">Lembur</t>
  </si>
  <si>
    <t xml:space="preserve">Potongan</t>
  </si>
  <si>
    <t xml:space="preserve">Gaji Bersih</t>
  </si>
  <si>
    <t xml:space="preserve">Siswoyo</t>
  </si>
  <si>
    <t xml:space="preserve">Anggun Cahyati</t>
  </si>
  <si>
    <t xml:space="preserve">Suprapto</t>
  </si>
  <si>
    <t xml:space="preserve">TOTAL</t>
  </si>
  <si>
    <t xml:space="preserve">DAFTAR SHEET</t>
  </si>
  <si>
    <t xml:space="preserve">Nama Sheet</t>
  </si>
  <si>
    <t xml:space="preserve">Keterangan</t>
  </si>
  <si>
    <t xml:space="preserve">1</t>
  </si>
  <si>
    <t xml:space="preserve">Cover</t>
  </si>
  <si>
    <t xml:space="preserve">Ringkasan dan informasi umum</t>
  </si>
  <si>
    <t xml:space="preserve">2</t>
  </si>
  <si>
    <t xml:space="preserve">Payroll Feb 2026</t>
  </si>
  <si>
    <t xml:space="preserve">Tabel payroll lengkap</t>
  </si>
  <si>
    <t xml:space="preserve">3</t>
  </si>
  <si>
    <t xml:space="preserve">Slip Gaji - Siswoyo</t>
  </si>
  <si>
    <t xml:space="preserve">Slip gaji karyawan Siswoyo</t>
  </si>
  <si>
    <t xml:space="preserve">4</t>
  </si>
  <si>
    <t xml:space="preserve">Slip Gaji - Anggun</t>
  </si>
  <si>
    <t xml:space="preserve">Slip gaji karyawan Anggun Cahyati</t>
  </si>
  <si>
    <t xml:space="preserve">5</t>
  </si>
  <si>
    <t xml:space="preserve">Slip Gaji - Suprapto</t>
  </si>
  <si>
    <t xml:space="preserve">Slip gaji karyawan Suprapto</t>
  </si>
  <si>
    <t xml:space="preserve">Alamat: Jogja</t>
  </si>
  <si>
    <t xml:space="preserve">Berdiri: 1 Januari 2001</t>
  </si>
  <si>
    <t xml:space="preserve">Waktu Kerja: 6 hari/minggu</t>
  </si>
  <si>
    <t xml:space="preserve">Nama Karyawan</t>
  </si>
  <si>
    <t xml:space="preserve">Jabatan</t>
  </si>
  <si>
    <t xml:space="preserve">Status</t>
  </si>
  <si>
    <t xml:space="preserve">Tunjangan Tetap</t>
  </si>
  <si>
    <t xml:space="preserve">Hari Masuk</t>
  </si>
  <si>
    <t xml:space="preserve">Cuti/Tidak Masuk</t>
  </si>
  <si>
    <t xml:space="preserve">Gaji Pokok + Tunjangan</t>
  </si>
  <si>
    <t xml:space="preserve">Total Lembur</t>
  </si>
  <si>
    <t xml:space="preserve">Penghasilan Bruto</t>
  </si>
  <si>
    <t xml:space="preserve">PPh 21</t>
  </si>
  <si>
    <t xml:space="preserve">Total Potongan</t>
  </si>
  <si>
    <t xml:space="preserve">Driver</t>
  </si>
  <si>
    <t xml:space="preserve">Menikah, 3 Anak</t>
  </si>
  <si>
    <t xml:space="preserve">Admin</t>
  </si>
  <si>
    <t xml:space="preserve">Menikah, 2 Anak</t>
  </si>
  <si>
    <t xml:space="preserve">SLIP GAJI KARYAWAN</t>
  </si>
  <si>
    <t xml:space="preserve">Bulan: Februari 2026</t>
  </si>
  <si>
    <t xml:space="preserve">: Siswoyo</t>
  </si>
  <si>
    <t xml:space="preserve">NIK</t>
  </si>
  <si>
    <t xml:space="preserve">: KAR-001</t>
  </si>
  <si>
    <t xml:space="preserve">: Driver</t>
  </si>
  <si>
    <t xml:space="preserve">: Karyawan Tetap</t>
  </si>
  <si>
    <t xml:space="preserve">Status Pajak</t>
  </si>
  <si>
    <t xml:space="preserve">: Menikah, 3 Anak</t>
  </si>
  <si>
    <t xml:space="preserve">Dept</t>
  </si>
  <si>
    <t xml:space="preserve">: Operasional</t>
  </si>
  <si>
    <t xml:space="preserve">: 21 Hari</t>
  </si>
  <si>
    <t xml:space="preserve">Cuti</t>
  </si>
  <si>
    <t xml:space="preserve">: 4 Hari</t>
  </si>
  <si>
    <t xml:space="preserve">PENGHASILAN</t>
  </si>
  <si>
    <t xml:space="preserve">Lembur Hari Kerja (11 jam)</t>
  </si>
  <si>
    <t xml:space="preserve">Lembur Hari Libur (7 jam)</t>
  </si>
  <si>
    <t xml:space="preserve">JKK (1.74%)</t>
  </si>
  <si>
    <t xml:space="preserve">JKM (0.30%)</t>
  </si>
  <si>
    <t xml:space="preserve">JHT Perusahaan (2%)</t>
  </si>
  <si>
    <t xml:space="preserve">JP Perusahaan (1%)</t>
  </si>
  <si>
    <t xml:space="preserve">BPJS Kesehatan Perusahaan (4%)</t>
  </si>
  <si>
    <t xml:space="preserve">TOTAL PENGHASILAN</t>
  </si>
  <si>
    <t xml:space="preserve">POTONGAN</t>
  </si>
  <si>
    <t xml:space="preserve">JHT Karyawan (2%)</t>
  </si>
  <si>
    <t xml:space="preserve">JP Karyawan (1%)</t>
  </si>
  <si>
    <t xml:space="preserve">BPJS Kesehatan Karyawan (1%)</t>
  </si>
  <si>
    <t xml:space="preserve">Potongan Cuti (4 hari)</t>
  </si>
  <si>
    <t xml:space="preserve">TOTAL POTONGAN</t>
  </si>
  <si>
    <t xml:space="preserve">GAJI BERSIH</t>
  </si>
  <si>
    <t xml:space="preserve">DETAIL LEMBUR:</t>
  </si>
  <si>
    <t xml:space="preserve">Tanggal</t>
  </si>
  <si>
    <t xml:space="preserve">Hari</t>
  </si>
  <si>
    <t xml:space="preserve">Jam Masuk</t>
  </si>
  <si>
    <t xml:space="preserve">Jam Keluar</t>
  </si>
  <si>
    <t xml:space="preserve">Istirahat</t>
  </si>
  <si>
    <t xml:space="preserve">Jam Lembur</t>
  </si>
  <si>
    <t xml:space="preserve">8 Feb 2026</t>
  </si>
  <si>
    <t xml:space="preserve">Minggu</t>
  </si>
  <si>
    <t xml:space="preserve">08:00</t>
  </si>
  <si>
    <t xml:space="preserve">16:00</t>
  </si>
  <si>
    <t xml:space="preserve">1 jam</t>
  </si>
  <si>
    <t xml:space="preserve">7 jam</t>
  </si>
  <si>
    <t xml:space="preserve">Hari Libur (2x)</t>
  </si>
  <si>
    <t xml:space="preserve">9 Feb 2026</t>
  </si>
  <si>
    <t xml:space="preserve">Senin</t>
  </si>
  <si>
    <t xml:space="preserve">20:00</t>
  </si>
  <si>
    <t xml:space="preserve">-</t>
  </si>
  <si>
    <t xml:space="preserve">11 jam</t>
  </si>
  <si>
    <t xml:space="preserve">Hari Kerja (1.5x + 2x)</t>
  </si>
  <si>
    <t xml:space="preserve">: Anggun Cahyati</t>
  </si>
  <si>
    <t xml:space="preserve">: KAR-002</t>
  </si>
  <si>
    <t xml:space="preserve">: Admin</t>
  </si>
  <si>
    <t xml:space="preserve">: Administrasi</t>
  </si>
  <si>
    <t xml:space="preserve">: 25 Hari</t>
  </si>
  <si>
    <t xml:space="preserve">: 0 Hari</t>
  </si>
  <si>
    <t xml:space="preserve">Lembur Hari Libur (4 jam)</t>
  </si>
  <si>
    <t xml:space="preserve">Potongan Tidak Masuk</t>
  </si>
  <si>
    <t xml:space="preserve">12:00</t>
  </si>
  <si>
    <t xml:space="preserve">4 jam</t>
  </si>
  <si>
    <t xml:space="preserve">19:00</t>
  </si>
  <si>
    <t xml:space="preserve">: Suprapto</t>
  </si>
  <si>
    <t xml:space="preserve">: KAR-003</t>
  </si>
  <si>
    <t xml:space="preserve">: Menikah, 2 Anak</t>
  </si>
  <si>
    <t xml:space="preserve">: 22 Hari</t>
  </si>
  <si>
    <t xml:space="preserve">Unpaid Leave</t>
  </si>
  <si>
    <t xml:space="preserve">: 3 Hari</t>
  </si>
  <si>
    <t xml:space="preserve">Lembur Hari Kerja (12 jam)</t>
  </si>
  <si>
    <t xml:space="preserve">Potongan Unpaid Leave (3 hari)</t>
  </si>
  <si>
    <t xml:space="preserve">12 jam</t>
  </si>
  <si>
    <t xml:space="preserve">PERHITUNGAN LEMBUR DETAIL - FEBRUARI 2026</t>
  </si>
  <si>
    <t xml:space="preserve">RUMUS PERHITUNGAN:</t>
  </si>
  <si>
    <t xml:space="preserve">Upah Lembur per Jam = (Gaji Pokok + Tunjangan Tetap) / 173</t>
  </si>
  <si>
    <t xml:space="preserve">Lembur Hari Kerja: Jam pertama = 1.5x, Jam berikutnya = 2x</t>
  </si>
  <si>
    <t xml:space="preserve">Lembur Hari Libur: Jam 1-7 = 2x, Jam ke-8 = 3x, Jam ke-9+ = 4x</t>
  </si>
  <si>
    <t xml:space="preserve">KARYAWAN: SISWOYO</t>
  </si>
  <si>
    <t xml:space="preserve">Gaji Pokok: Rp 6,200,000</t>
  </si>
  <si>
    <t xml:space="preserve">Tunjangan: Rp 500,000</t>
  </si>
  <si>
    <t xml:space="preserve">Upah Lembur/Jam: Rp 38,728</t>
  </si>
  <si>
    <t xml:space="preserve">Istirahat (jam)</t>
  </si>
  <si>
    <t xml:space="preserve">Multiplier</t>
  </si>
  <si>
    <t xml:space="preserve">2x</t>
  </si>
  <si>
    <t xml:space="preserve">1.5x + 2x</t>
  </si>
  <si>
    <t xml:space="preserve">TOTAL LEMBUR</t>
  </si>
  <si>
    <t xml:space="preserve">KARYAWAN: ANGGUN CAHYATI</t>
  </si>
  <si>
    <t xml:space="preserve">Gaji Pokok: Rp 6,000,000</t>
  </si>
  <si>
    <t xml:space="preserve">Upah Lembur/Jam: Rp 37,572</t>
  </si>
  <si>
    <t xml:space="preserve">KARYAWAN: SUPRAPTO</t>
  </si>
  <si>
    <t xml:space="preserve">Gaji Pokok: Rp 6,300,000</t>
  </si>
  <si>
    <t xml:space="preserve">Upah Lembur/Jam: Rp 39,306</t>
  </si>
  <si>
    <t xml:space="preserve">PERHITUNGAN BPJS &amp; PPh 21 - FEBRUARI 2026</t>
  </si>
  <si>
    <t xml:space="preserve">A. BPJS KETENAGAKERJAAN</t>
  </si>
  <si>
    <t xml:space="preserve">Upah Terlapor</t>
  </si>
  <si>
    <t xml:space="preserve">JKK 1.74%</t>
  </si>
  <si>
    <t xml:space="preserve">JKM 0.30%</t>
  </si>
  <si>
    <t xml:space="preserve">JHT 2% (P)</t>
  </si>
  <si>
    <t xml:space="preserve">JHT 2% (K)</t>
  </si>
  <si>
    <t xml:space="preserve">JP 1% (P)</t>
  </si>
  <si>
    <t xml:space="preserve">JP 1% (K)</t>
  </si>
  <si>
    <t xml:space="preserve">Total Perusahaan</t>
  </si>
  <si>
    <t xml:space="preserve">B. BPJS KESEHATAN</t>
  </si>
  <si>
    <t xml:space="preserve">Perusahaan 4%</t>
  </si>
  <si>
    <t xml:space="preserve">Karyawan 1%</t>
  </si>
  <si>
    <t xml:space="preserve">Total</t>
  </si>
  <si>
    <t xml:space="preserve">C. PPh 21 (PERHITUNGAN PAJAK PENGHASILAN)</t>
  </si>
  <si>
    <t xml:space="preserve">Biaya Jabatan 5%</t>
  </si>
  <si>
    <t xml:space="preserve">BPJS Karyawan</t>
  </si>
  <si>
    <t xml:space="preserve">Penghasilan Netto/Bln</t>
  </si>
  <si>
    <t xml:space="preserve">Penghasilan Netto/Thn</t>
  </si>
  <si>
    <t xml:space="preserve">PTKP</t>
  </si>
  <si>
    <t xml:space="preserve">PKP</t>
  </si>
  <si>
    <t xml:space="preserve">PPh 21/Thn</t>
  </si>
  <si>
    <t xml:space="preserve">PPh 21/Bln</t>
  </si>
  <si>
    <t xml:space="preserve">KETERANGAN PTKP (Penghasilan Tidak Kena Pajak):</t>
  </si>
  <si>
    <t xml:space="preserve">WP Pribadi</t>
  </si>
  <si>
    <t xml:space="preserve">: Rp 54.000.000/tahun</t>
  </si>
  <si>
    <t xml:space="preserve">Istri</t>
  </si>
  <si>
    <t xml:space="preserve">: Rp 4.500.000/tahun</t>
  </si>
  <si>
    <t xml:space="preserve">Anak (max 3)</t>
  </si>
  <si>
    <t xml:space="preserve">: Rp 4.500.000/anak/tahun</t>
  </si>
  <si>
    <t xml:space="preserve">Siswoyo &amp; Anggun (Menikah + 3 Anak)</t>
  </si>
  <si>
    <t xml:space="preserve">: Rp 67.500.000/tahun</t>
  </si>
  <si>
    <t xml:space="preserve">Suprapto (Menikah + 2 Anak)</t>
  </si>
  <si>
    <t xml:space="preserve">: Rp 63.000.000/tahun</t>
  </si>
  <si>
    <t xml:space="preserve">TARIF PPh 21 (Pasal 17 UU PPh):</t>
  </si>
  <si>
    <t xml:space="preserve">Layer 1</t>
  </si>
  <si>
    <t xml:space="preserve">: Rp 0 - Rp 60.000.000</t>
  </si>
  <si>
    <t xml:space="preserve">5%</t>
  </si>
  <si>
    <t xml:space="preserve">Layer 2</t>
  </si>
  <si>
    <t xml:space="preserve">: Rp 60.000.000 - Rp 250.000.000</t>
  </si>
  <si>
    <t xml:space="preserve">15%</t>
  </si>
  <si>
    <t xml:space="preserve">Layer 3</t>
  </si>
  <si>
    <t xml:space="preserve">: Rp 250.000.000 - Rp 500.000.000</t>
  </si>
  <si>
    <t xml:space="preserve">25%</t>
  </si>
  <si>
    <t xml:space="preserve">Layer 4</t>
  </si>
  <si>
    <t xml:space="preserve">: Di atas Rp 500.000.000</t>
  </si>
  <si>
    <t xml:space="preserve">30%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</si>
</sst>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0504D"/>
        <bgColor rgb="FF993366"/>
      </patternFill>
    </fill>
    <fill>
      <patternFill patternType="solid">
        <fgColor rgb="FF9BBB59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8" min="4" style="0" width="1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0" t="s">
        <v>4</v>
      </c>
    </row>
    <row r="8" customFormat="false" ht="15" hidden="false" customHeight="false" outlineLevel="0" collapsed="false">
      <c r="B8" s="4" t="s">
        <v>5</v>
      </c>
      <c r="C8" s="0" t="s">
        <v>6</v>
      </c>
    </row>
    <row r="9" customFormat="false" ht="15" hidden="false" customHeight="false" outlineLevel="0" collapsed="false">
      <c r="B9" s="4" t="s">
        <v>7</v>
      </c>
      <c r="C9" s="0" t="s">
        <v>8</v>
      </c>
    </row>
    <row r="10" customFormat="false" ht="15" hidden="false" customHeight="false" outlineLevel="0" collapsed="false">
      <c r="B10" s="4" t="s">
        <v>9</v>
      </c>
      <c r="C10" s="0" t="s">
        <v>10</v>
      </c>
    </row>
    <row r="13" customFormat="false" ht="15" hidden="false" customHeight="false" outlineLevel="0" collapsed="false">
      <c r="B13" s="3" t="s">
        <v>11</v>
      </c>
    </row>
    <row r="14" customFormat="false" ht="15" hidden="false" customHeight="false" outlineLevel="0" collapsed="false">
      <c r="B14" s="4" t="s">
        <v>12</v>
      </c>
      <c r="C14" s="0" t="s">
        <v>13</v>
      </c>
    </row>
    <row r="15" customFormat="false" ht="15" hidden="false" customHeight="false" outlineLevel="0" collapsed="false">
      <c r="B15" s="4" t="s">
        <v>14</v>
      </c>
      <c r="C15" s="0" t="s">
        <v>15</v>
      </c>
    </row>
    <row r="16" customFormat="false" ht="15" hidden="false" customHeight="false" outlineLevel="0" collapsed="false">
      <c r="B16" s="4" t="s">
        <v>16</v>
      </c>
      <c r="C16" s="0" t="s">
        <v>17</v>
      </c>
    </row>
    <row r="17" customFormat="false" ht="15" hidden="false" customHeight="false" outlineLevel="0" collapsed="false">
      <c r="B17" s="4" t="s">
        <v>18</v>
      </c>
      <c r="C17" s="0" t="s">
        <v>19</v>
      </c>
    </row>
    <row r="18" customFormat="false" ht="15" hidden="false" customHeight="false" outlineLevel="0" collapsed="false">
      <c r="B18" s="4" t="s">
        <v>20</v>
      </c>
      <c r="C18" s="0" t="s">
        <v>21</v>
      </c>
    </row>
    <row r="19" customFormat="false" ht="15" hidden="false" customHeight="false" outlineLevel="0" collapsed="false">
      <c r="B19" s="4" t="s">
        <v>22</v>
      </c>
      <c r="C19" s="0" t="s">
        <v>23</v>
      </c>
    </row>
    <row r="20" customFormat="false" ht="15" hidden="false" customHeight="false" outlineLevel="0" collapsed="false">
      <c r="B20" s="4" t="s">
        <v>24</v>
      </c>
      <c r="C20" s="0" t="s">
        <v>25</v>
      </c>
    </row>
    <row r="21" customFormat="false" ht="15" hidden="false" customHeight="false" outlineLevel="0" collapsed="false">
      <c r="B21" s="4" t="s">
        <v>26</v>
      </c>
      <c r="C21" s="0" t="s">
        <v>27</v>
      </c>
    </row>
    <row r="22" customFormat="false" ht="15" hidden="false" customHeight="false" outlineLevel="0" collapsed="false">
      <c r="B22" s="4" t="s">
        <v>28</v>
      </c>
      <c r="C22" s="0" t="s">
        <v>29</v>
      </c>
    </row>
    <row r="25" customFormat="false" ht="15" hidden="false" customHeight="false" outlineLevel="0" collapsed="false">
      <c r="B25" s="3" t="s">
        <v>30</v>
      </c>
    </row>
    <row r="26" customFormat="false" ht="15" hidden="false" customHeight="false" outlineLevel="0" collapsed="false">
      <c r="B26" s="5" t="s">
        <v>31</v>
      </c>
      <c r="C26" s="5" t="s">
        <v>32</v>
      </c>
      <c r="D26" s="5" t="s">
        <v>33</v>
      </c>
      <c r="E26" s="5" t="s">
        <v>34</v>
      </c>
      <c r="F26" s="5" t="s">
        <v>35</v>
      </c>
      <c r="G26" s="5" t="s">
        <v>36</v>
      </c>
      <c r="H26" s="5" t="s">
        <v>37</v>
      </c>
    </row>
    <row r="27" customFormat="false" ht="15" hidden="false" customHeight="false" outlineLevel="0" collapsed="false">
      <c r="B27" s="6" t="n">
        <v>1</v>
      </c>
      <c r="C27" s="6" t="s">
        <v>38</v>
      </c>
      <c r="D27" s="7" t="n">
        <v>6200000</v>
      </c>
      <c r="E27" s="7" t="n">
        <v>500000</v>
      </c>
      <c r="F27" s="7" t="n">
        <v>472832</v>
      </c>
      <c r="G27" s="7" t="n">
        <v>1470000</v>
      </c>
      <c r="H27" s="7" t="n">
        <v>5702832</v>
      </c>
    </row>
    <row r="28" customFormat="false" ht="15" hidden="false" customHeight="false" outlineLevel="0" collapsed="false">
      <c r="B28" s="6" t="n">
        <v>2</v>
      </c>
      <c r="C28" s="6" t="s">
        <v>39</v>
      </c>
      <c r="D28" s="7" t="n">
        <v>6000000</v>
      </c>
      <c r="E28" s="7" t="n">
        <v>500000</v>
      </c>
      <c r="F28" s="7" t="n">
        <v>826087</v>
      </c>
      <c r="G28" s="7" t="n">
        <v>260000</v>
      </c>
      <c r="H28" s="7" t="n">
        <v>7066087</v>
      </c>
    </row>
    <row r="29" customFormat="false" ht="15" hidden="false" customHeight="false" outlineLevel="0" collapsed="false">
      <c r="B29" s="6" t="n">
        <v>3</v>
      </c>
      <c r="C29" s="6" t="s">
        <v>40</v>
      </c>
      <c r="D29" s="7" t="n">
        <v>6300000</v>
      </c>
      <c r="E29" s="7" t="n">
        <v>500000</v>
      </c>
      <c r="F29" s="7" t="n">
        <v>482474</v>
      </c>
      <c r="G29" s="7" t="n">
        <v>1152000</v>
      </c>
      <c r="H29" s="7" t="n">
        <v>6130474</v>
      </c>
    </row>
    <row r="31" customFormat="false" ht="15" hidden="false" customHeight="false" outlineLevel="0" collapsed="false">
      <c r="B31" s="4" t="s">
        <v>41</v>
      </c>
      <c r="D31" s="8" t="n">
        <f aca="false">SUM(D27:D29)</f>
        <v>18500000</v>
      </c>
      <c r="E31" s="8" t="n">
        <f aca="false">SUM(E27:E29)</f>
        <v>1500000</v>
      </c>
      <c r="F31" s="8" t="n">
        <f aca="false">SUM(F27:F29)</f>
        <v>1781393</v>
      </c>
      <c r="G31" s="8" t="n">
        <f aca="false">SUM(G27:G29)</f>
        <v>2882000</v>
      </c>
      <c r="H31" s="8" t="n">
        <f aca="false">SUM(H27:H29)</f>
        <v>18899393</v>
      </c>
    </row>
    <row r="34" customFormat="false" ht="15" hidden="false" customHeight="false" outlineLevel="0" collapsed="false">
      <c r="B34" s="3" t="s">
        <v>42</v>
      </c>
    </row>
    <row r="35" customFormat="false" ht="15" hidden="false" customHeight="false" outlineLevel="0" collapsed="false">
      <c r="B35" s="9" t="s">
        <v>31</v>
      </c>
      <c r="C35" s="10" t="s">
        <v>43</v>
      </c>
      <c r="D35" s="10" t="s">
        <v>44</v>
      </c>
    </row>
    <row r="36" customFormat="false" ht="15" hidden="false" customHeight="false" outlineLevel="0" collapsed="false">
      <c r="B36" s="11" t="s">
        <v>45</v>
      </c>
      <c r="C36" s="12" t="s">
        <v>46</v>
      </c>
      <c r="D36" s="12" t="s">
        <v>47</v>
      </c>
    </row>
    <row r="37" customFormat="false" ht="15" hidden="false" customHeight="false" outlineLevel="0" collapsed="false">
      <c r="B37" s="11" t="s">
        <v>48</v>
      </c>
      <c r="C37" s="12" t="s">
        <v>49</v>
      </c>
      <c r="D37" s="12" t="s">
        <v>50</v>
      </c>
    </row>
    <row r="38" customFormat="false" ht="15" hidden="false" customHeight="false" outlineLevel="0" collapsed="false">
      <c r="B38" s="11" t="s">
        <v>51</v>
      </c>
      <c r="C38" s="12" t="s">
        <v>52</v>
      </c>
      <c r="D38" s="12" t="s">
        <v>53</v>
      </c>
    </row>
    <row r="39" customFormat="false" ht="15" hidden="false" customHeight="false" outlineLevel="0" collapsed="false">
      <c r="B39" s="11" t="s">
        <v>54</v>
      </c>
      <c r="C39" s="12" t="s">
        <v>55</v>
      </c>
      <c r="D39" s="12" t="s">
        <v>56</v>
      </c>
    </row>
    <row r="40" customFormat="false" ht="15" hidden="false" customHeight="false" outlineLevel="0" collapsed="false">
      <c r="B40" s="11" t="s">
        <v>57</v>
      </c>
      <c r="C40" s="12" t="s">
        <v>58</v>
      </c>
      <c r="D40" s="12" t="s">
        <v>59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8" min="6" style="0" width="15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20"/>
    <col collapsed="false" customWidth="true" hidden="false" outlineLevel="0" max="13" min="12" style="0" width="18"/>
    <col collapsed="false" customWidth="true" hidden="false" outlineLevel="0" max="14" min="14" style="0" width="20"/>
    <col collapsed="false" customWidth="true" hidden="false" outlineLevel="0" max="16" min="15" style="0" width="15"/>
    <col collapsed="false" customWidth="true" hidden="false" outlineLevel="0" max="18" min="17" style="0" width="18"/>
  </cols>
  <sheetData>
    <row r="2" customFormat="false" ht="30" hidden="false" customHeight="true" outlineLevel="0" collapsed="false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4" customFormat="false" ht="15" hidden="false" customHeight="false" outlineLevel="0" collapsed="false">
      <c r="B4" s="14" t="s">
        <v>1</v>
      </c>
    </row>
    <row r="5" customFormat="false" ht="15" hidden="false" customHeight="false" outlineLevel="0" collapsed="false">
      <c r="B5" s="0" t="s">
        <v>60</v>
      </c>
    </row>
    <row r="6" customFormat="false" ht="15" hidden="false" customHeight="false" outlineLevel="0" collapsed="false">
      <c r="B6" s="0" t="s">
        <v>61</v>
      </c>
    </row>
    <row r="7" customFormat="false" ht="15" hidden="false" customHeight="false" outlineLevel="0" collapsed="false">
      <c r="B7" s="0" t="s">
        <v>62</v>
      </c>
    </row>
    <row r="9" customFormat="false" ht="34.5" hidden="false" customHeight="true" outlineLevel="0" collapsed="false">
      <c r="B9" s="15" t="s">
        <v>31</v>
      </c>
      <c r="C9" s="15" t="s">
        <v>63</v>
      </c>
      <c r="D9" s="15" t="s">
        <v>64</v>
      </c>
      <c r="E9" s="15" t="s">
        <v>65</v>
      </c>
      <c r="F9" s="15" t="s">
        <v>33</v>
      </c>
      <c r="G9" s="15" t="s">
        <v>66</v>
      </c>
      <c r="H9" s="15" t="s">
        <v>12</v>
      </c>
      <c r="I9" s="15" t="s">
        <v>67</v>
      </c>
      <c r="J9" s="15" t="s">
        <v>68</v>
      </c>
      <c r="K9" s="15" t="s">
        <v>69</v>
      </c>
      <c r="L9" s="15" t="s">
        <v>14</v>
      </c>
      <c r="M9" s="15" t="s">
        <v>70</v>
      </c>
      <c r="N9" s="15" t="s">
        <v>71</v>
      </c>
      <c r="O9" s="15" t="s">
        <v>36</v>
      </c>
      <c r="P9" s="15" t="s">
        <v>72</v>
      </c>
      <c r="Q9" s="15" t="s">
        <v>73</v>
      </c>
      <c r="R9" s="15" t="s">
        <v>37</v>
      </c>
    </row>
    <row r="10" customFormat="false" ht="15" hidden="false" customHeight="false" outlineLevel="0" collapsed="false">
      <c r="B10" s="11" t="n">
        <v>1</v>
      </c>
      <c r="C10" s="11" t="s">
        <v>38</v>
      </c>
      <c r="D10" s="11" t="s">
        <v>74</v>
      </c>
      <c r="E10" s="16" t="s">
        <v>75</v>
      </c>
      <c r="F10" s="16" t="n">
        <v>6200000</v>
      </c>
      <c r="G10" s="16" t="n">
        <v>500000</v>
      </c>
      <c r="H10" s="16" t="n">
        <v>268000</v>
      </c>
      <c r="I10" s="16" t="n">
        <v>21</v>
      </c>
      <c r="J10" s="16" t="n">
        <v>4</v>
      </c>
      <c r="K10" s="16" t="n">
        <v>6700000</v>
      </c>
      <c r="L10" s="16" t="n">
        <v>38728.323699422</v>
      </c>
      <c r="M10" s="16" t="n">
        <v>1452312.13872832</v>
      </c>
      <c r="N10" s="16" t="n">
        <v>8757992.13872832</v>
      </c>
      <c r="O10" s="16" t="n">
        <v>1072000</v>
      </c>
      <c r="P10" s="16" t="n">
        <v>102604.626589595</v>
      </c>
      <c r="Q10" s="16" t="n">
        <v>1442604.6265896</v>
      </c>
      <c r="R10" s="16" t="n">
        <v>6709707.51213873</v>
      </c>
    </row>
    <row r="11" customFormat="false" ht="15" hidden="false" customHeight="false" outlineLevel="0" collapsed="false">
      <c r="B11" s="11" t="n">
        <v>2</v>
      </c>
      <c r="C11" s="11" t="s">
        <v>39</v>
      </c>
      <c r="D11" s="11" t="s">
        <v>76</v>
      </c>
      <c r="E11" s="16" t="s">
        <v>75</v>
      </c>
      <c r="F11" s="16" t="n">
        <v>6000000</v>
      </c>
      <c r="G11" s="16" t="n">
        <v>500000</v>
      </c>
      <c r="H11" s="16" t="n">
        <v>260000</v>
      </c>
      <c r="I11" s="16" t="n">
        <v>25</v>
      </c>
      <c r="J11" s="16" t="n">
        <v>0</v>
      </c>
      <c r="K11" s="16" t="n">
        <v>6500000</v>
      </c>
      <c r="L11" s="16" t="n">
        <v>37572.2543352601</v>
      </c>
      <c r="M11" s="16" t="n">
        <v>1108381.50289017</v>
      </c>
      <c r="N11" s="16" t="n">
        <v>8195981.50289017</v>
      </c>
      <c r="O11" s="16" t="n">
        <v>0</v>
      </c>
      <c r="P11" s="16" t="n">
        <v>76309.1213872833</v>
      </c>
      <c r="Q11" s="16" t="n">
        <v>336309.121387283</v>
      </c>
      <c r="R11" s="16" t="n">
        <v>7272072.38150289</v>
      </c>
    </row>
    <row r="12" customFormat="false" ht="15" hidden="false" customHeight="false" outlineLevel="0" collapsed="false">
      <c r="B12" s="11" t="n">
        <v>3</v>
      </c>
      <c r="C12" s="11" t="s">
        <v>40</v>
      </c>
      <c r="D12" s="11" t="s">
        <v>74</v>
      </c>
      <c r="E12" s="16" t="s">
        <v>77</v>
      </c>
      <c r="F12" s="16" t="n">
        <v>6300000</v>
      </c>
      <c r="G12" s="16" t="n">
        <v>500000</v>
      </c>
      <c r="H12" s="16" t="n">
        <v>272000</v>
      </c>
      <c r="I12" s="16" t="n">
        <v>22</v>
      </c>
      <c r="J12" s="16" t="n">
        <v>3</v>
      </c>
      <c r="K12" s="16" t="n">
        <v>6800000</v>
      </c>
      <c r="L12" s="16" t="n">
        <v>39306.3583815029</v>
      </c>
      <c r="M12" s="16" t="n">
        <v>1473988.43930636</v>
      </c>
      <c r="N12" s="16" t="n">
        <v>8888708.43930636</v>
      </c>
      <c r="O12" s="16" t="n">
        <v>816000</v>
      </c>
      <c r="P12" s="16" t="n">
        <v>127363.650867052</v>
      </c>
      <c r="Q12" s="16" t="n">
        <v>1215363.65086705</v>
      </c>
      <c r="R12" s="16" t="n">
        <v>7058624.78843931</v>
      </c>
    </row>
  </sheetData>
  <mergeCells count="1">
    <mergeCell ref="B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2" style="0" width="18"/>
  </cols>
  <sheetData>
    <row r="2" customFormat="false" ht="30" hidden="false" customHeight="true" outlineLevel="0" collapsed="false">
      <c r="B2" s="17" t="s">
        <v>78</v>
      </c>
      <c r="C2" s="17"/>
      <c r="D2" s="17"/>
      <c r="E2" s="17"/>
      <c r="F2" s="17"/>
      <c r="G2" s="17"/>
    </row>
    <row r="3" customFormat="false" ht="15" hidden="false" customHeight="false" outlineLevel="0" collapsed="false">
      <c r="B3" s="18" t="s">
        <v>1</v>
      </c>
      <c r="C3" s="18"/>
      <c r="D3" s="18"/>
      <c r="E3" s="18"/>
      <c r="F3" s="18"/>
      <c r="G3" s="18"/>
    </row>
    <row r="4" customFormat="false" ht="15" hidden="false" customHeight="false" outlineLevel="0" collapsed="false">
      <c r="B4" s="19" t="s">
        <v>79</v>
      </c>
      <c r="C4" s="19"/>
      <c r="D4" s="19"/>
      <c r="E4" s="19"/>
      <c r="F4" s="19"/>
      <c r="G4" s="19"/>
    </row>
    <row r="6" customFormat="false" ht="15" hidden="false" customHeight="false" outlineLevel="0" collapsed="false">
      <c r="B6" s="4" t="s">
        <v>32</v>
      </c>
      <c r="C6" s="0" t="s">
        <v>80</v>
      </c>
      <c r="E6" s="4" t="s">
        <v>81</v>
      </c>
      <c r="F6" s="0" t="s">
        <v>82</v>
      </c>
    </row>
    <row r="7" customFormat="false" ht="15" hidden="false" customHeight="false" outlineLevel="0" collapsed="false">
      <c r="B7" s="4" t="s">
        <v>64</v>
      </c>
      <c r="C7" s="0" t="s">
        <v>83</v>
      </c>
      <c r="E7" s="4" t="s">
        <v>65</v>
      </c>
      <c r="F7" s="0" t="s">
        <v>84</v>
      </c>
    </row>
    <row r="8" customFormat="false" ht="15" hidden="false" customHeight="false" outlineLevel="0" collapsed="false">
      <c r="B8" s="4" t="s">
        <v>85</v>
      </c>
      <c r="C8" s="0" t="s">
        <v>86</v>
      </c>
      <c r="E8" s="4" t="s">
        <v>87</v>
      </c>
      <c r="F8" s="0" t="s">
        <v>88</v>
      </c>
    </row>
    <row r="9" customFormat="false" ht="15" hidden="false" customHeight="false" outlineLevel="0" collapsed="false">
      <c r="B9" s="4" t="s">
        <v>67</v>
      </c>
      <c r="C9" s="0" t="s">
        <v>89</v>
      </c>
      <c r="E9" s="4" t="s">
        <v>90</v>
      </c>
      <c r="F9" s="0" t="s">
        <v>91</v>
      </c>
    </row>
    <row r="11" customFormat="false" ht="15" hidden="false" customHeight="false" outlineLevel="0" collapsed="false">
      <c r="B11" s="20" t="s">
        <v>92</v>
      </c>
      <c r="C11" s="20"/>
      <c r="D11" s="20"/>
      <c r="E11" s="20"/>
      <c r="F11" s="20"/>
      <c r="G11" s="20"/>
    </row>
    <row r="12" customFormat="false" ht="15" hidden="false" customHeight="false" outlineLevel="0" collapsed="false">
      <c r="B12" s="0" t="s">
        <v>33</v>
      </c>
      <c r="F12" s="21" t="n">
        <v>6200000</v>
      </c>
    </row>
    <row r="13" customFormat="false" ht="15" hidden="false" customHeight="false" outlineLevel="0" collapsed="false">
      <c r="B13" s="0" t="s">
        <v>66</v>
      </c>
      <c r="F13" s="21" t="n">
        <v>500000</v>
      </c>
    </row>
    <row r="14" customFormat="false" ht="15" hidden="false" customHeight="false" outlineLevel="0" collapsed="false">
      <c r="B14" s="0" t="s">
        <v>93</v>
      </c>
      <c r="F14" s="21" t="n">
        <v>201156</v>
      </c>
    </row>
    <row r="15" customFormat="false" ht="15" hidden="false" customHeight="false" outlineLevel="0" collapsed="false">
      <c r="B15" s="0" t="s">
        <v>94</v>
      </c>
      <c r="F15" s="21" t="n">
        <v>271676</v>
      </c>
    </row>
    <row r="16" customFormat="false" ht="15" hidden="false" customHeight="false" outlineLevel="0" collapsed="false">
      <c r="B16" s="0" t="s">
        <v>95</v>
      </c>
      <c r="F16" s="21" t="n">
        <v>116580</v>
      </c>
    </row>
    <row r="17" customFormat="false" ht="15" hidden="false" customHeight="false" outlineLevel="0" collapsed="false">
      <c r="B17" s="0" t="s">
        <v>96</v>
      </c>
      <c r="F17" s="21" t="n">
        <v>20100</v>
      </c>
    </row>
    <row r="18" customFormat="false" ht="15" hidden="false" customHeight="false" outlineLevel="0" collapsed="false">
      <c r="B18" s="0" t="s">
        <v>97</v>
      </c>
      <c r="F18" s="21" t="n">
        <v>134000</v>
      </c>
    </row>
    <row r="19" customFormat="false" ht="15" hidden="false" customHeight="false" outlineLevel="0" collapsed="false">
      <c r="B19" s="0" t="s">
        <v>98</v>
      </c>
      <c r="F19" s="21" t="n">
        <v>67000</v>
      </c>
    </row>
    <row r="20" customFormat="false" ht="15" hidden="false" customHeight="false" outlineLevel="0" collapsed="false">
      <c r="B20" s="0" t="s">
        <v>99</v>
      </c>
      <c r="F20" s="21" t="n">
        <v>268000</v>
      </c>
    </row>
    <row r="22" customFormat="false" ht="15" hidden="false" customHeight="false" outlineLevel="0" collapsed="false">
      <c r="B22" s="4" t="s">
        <v>100</v>
      </c>
      <c r="F22" s="22" t="n">
        <f aca="false">SUM(F12:F20)</f>
        <v>7778512</v>
      </c>
    </row>
    <row r="24" customFormat="false" ht="15" hidden="false" customHeight="false" outlineLevel="0" collapsed="false">
      <c r="B24" s="23" t="s">
        <v>101</v>
      </c>
      <c r="C24" s="23"/>
      <c r="D24" s="23"/>
      <c r="E24" s="23"/>
      <c r="F24" s="23"/>
      <c r="G24" s="23"/>
    </row>
    <row r="25" customFormat="false" ht="15" hidden="false" customHeight="false" outlineLevel="0" collapsed="false">
      <c r="B25" s="0" t="s">
        <v>102</v>
      </c>
      <c r="F25" s="21" t="n">
        <v>134000</v>
      </c>
    </row>
    <row r="26" customFormat="false" ht="15" hidden="false" customHeight="false" outlineLevel="0" collapsed="false">
      <c r="B26" s="0" t="s">
        <v>103</v>
      </c>
      <c r="F26" s="21" t="n">
        <v>67000</v>
      </c>
    </row>
    <row r="27" customFormat="false" ht="15" hidden="false" customHeight="false" outlineLevel="0" collapsed="false">
      <c r="B27" s="0" t="s">
        <v>104</v>
      </c>
      <c r="F27" s="21" t="n">
        <v>67000</v>
      </c>
    </row>
    <row r="28" customFormat="false" ht="15" hidden="false" customHeight="false" outlineLevel="0" collapsed="false">
      <c r="B28" s="0" t="s">
        <v>72</v>
      </c>
      <c r="F28" s="21" t="n">
        <v>0</v>
      </c>
    </row>
    <row r="29" customFormat="false" ht="15" hidden="false" customHeight="false" outlineLevel="0" collapsed="false">
      <c r="B29" s="0" t="s">
        <v>105</v>
      </c>
      <c r="F29" s="21" t="n">
        <v>1072000</v>
      </c>
    </row>
    <row r="31" customFormat="false" ht="15" hidden="false" customHeight="false" outlineLevel="0" collapsed="false">
      <c r="B31" s="4" t="s">
        <v>106</v>
      </c>
      <c r="F31" s="22" t="n">
        <f aca="false">SUM(F25:F29)</f>
        <v>1340000</v>
      </c>
    </row>
    <row r="33" customFormat="false" ht="15" hidden="false" customHeight="false" outlineLevel="0" collapsed="false">
      <c r="B33" s="24" t="s">
        <v>107</v>
      </c>
      <c r="C33" s="24"/>
      <c r="D33" s="24"/>
      <c r="E33" s="24"/>
      <c r="F33" s="24"/>
      <c r="G33" s="24"/>
    </row>
    <row r="34" customFormat="false" ht="24.75" hidden="false" customHeight="true" outlineLevel="0" collapsed="false">
      <c r="B34" s="25" t="n">
        <f aca="false">F22-F31</f>
        <v>6438512</v>
      </c>
      <c r="C34" s="25"/>
      <c r="D34" s="25"/>
      <c r="E34" s="25"/>
      <c r="F34" s="25"/>
      <c r="G34" s="25"/>
    </row>
    <row r="37" customFormat="false" ht="15" hidden="false" customHeight="false" outlineLevel="0" collapsed="false">
      <c r="B37" s="4" t="s">
        <v>108</v>
      </c>
    </row>
    <row r="38" customFormat="false" ht="15" hidden="false" customHeight="false" outlineLevel="0" collapsed="false">
      <c r="B38" s="9" t="s">
        <v>109</v>
      </c>
      <c r="C38" s="9" t="s">
        <v>110</v>
      </c>
      <c r="D38" s="9" t="s">
        <v>111</v>
      </c>
      <c r="E38" s="9" t="s">
        <v>112</v>
      </c>
      <c r="F38" s="9" t="s">
        <v>113</v>
      </c>
      <c r="G38" s="9" t="s">
        <v>114</v>
      </c>
      <c r="H38" s="9" t="s">
        <v>44</v>
      </c>
    </row>
    <row r="39" customFormat="false" ht="15" hidden="false" customHeight="false" outlineLevel="0" collapsed="false">
      <c r="B39" s="11" t="s">
        <v>115</v>
      </c>
      <c r="C39" s="11" t="s">
        <v>116</v>
      </c>
      <c r="D39" s="11" t="s">
        <v>117</v>
      </c>
      <c r="E39" s="11" t="s">
        <v>118</v>
      </c>
      <c r="F39" s="11" t="s">
        <v>119</v>
      </c>
      <c r="G39" s="11" t="s">
        <v>120</v>
      </c>
      <c r="H39" s="11" t="s">
        <v>121</v>
      </c>
    </row>
    <row r="40" customFormat="false" ht="15" hidden="false" customHeight="false" outlineLevel="0" collapsed="false">
      <c r="B40" s="11" t="s">
        <v>122</v>
      </c>
      <c r="C40" s="11" t="s">
        <v>123</v>
      </c>
      <c r="D40" s="11" t="s">
        <v>117</v>
      </c>
      <c r="E40" s="11" t="s">
        <v>124</v>
      </c>
      <c r="F40" s="11" t="s">
        <v>125</v>
      </c>
      <c r="G40" s="11" t="s">
        <v>126</v>
      </c>
      <c r="H40" s="11" t="s">
        <v>127</v>
      </c>
    </row>
  </sheetData>
  <mergeCells count="7">
    <mergeCell ref="B2:G2"/>
    <mergeCell ref="B3:G3"/>
    <mergeCell ref="B4:G4"/>
    <mergeCell ref="B11:G11"/>
    <mergeCell ref="B24:G24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2" style="0" width="18"/>
  </cols>
  <sheetData>
    <row r="2" customFormat="false" ht="30" hidden="false" customHeight="true" outlineLevel="0" collapsed="false">
      <c r="B2" s="17" t="s">
        <v>78</v>
      </c>
      <c r="C2" s="17"/>
      <c r="D2" s="17"/>
      <c r="E2" s="17"/>
      <c r="F2" s="17"/>
      <c r="G2" s="17"/>
    </row>
    <row r="3" customFormat="false" ht="15" hidden="false" customHeight="false" outlineLevel="0" collapsed="false">
      <c r="B3" s="18" t="s">
        <v>1</v>
      </c>
      <c r="C3" s="18"/>
      <c r="D3" s="18"/>
      <c r="E3" s="18"/>
      <c r="F3" s="18"/>
      <c r="G3" s="18"/>
    </row>
    <row r="4" customFormat="false" ht="15" hidden="false" customHeight="false" outlineLevel="0" collapsed="false">
      <c r="B4" s="19" t="s">
        <v>79</v>
      </c>
      <c r="C4" s="19"/>
      <c r="D4" s="19"/>
      <c r="E4" s="19"/>
      <c r="F4" s="19"/>
      <c r="G4" s="19"/>
    </row>
    <row r="6" customFormat="false" ht="15" hidden="false" customHeight="false" outlineLevel="0" collapsed="false">
      <c r="B6" s="4" t="s">
        <v>32</v>
      </c>
      <c r="C6" s="0" t="s">
        <v>128</v>
      </c>
      <c r="E6" s="4" t="s">
        <v>81</v>
      </c>
      <c r="F6" s="0" t="s">
        <v>129</v>
      </c>
    </row>
    <row r="7" customFormat="false" ht="15" hidden="false" customHeight="false" outlineLevel="0" collapsed="false">
      <c r="B7" s="4" t="s">
        <v>64</v>
      </c>
      <c r="C7" s="0" t="s">
        <v>130</v>
      </c>
      <c r="E7" s="4" t="s">
        <v>65</v>
      </c>
      <c r="F7" s="0" t="s">
        <v>84</v>
      </c>
    </row>
    <row r="8" customFormat="false" ht="15" hidden="false" customHeight="false" outlineLevel="0" collapsed="false">
      <c r="B8" s="4" t="s">
        <v>85</v>
      </c>
      <c r="C8" s="0" t="s">
        <v>86</v>
      </c>
      <c r="E8" s="4" t="s">
        <v>87</v>
      </c>
      <c r="F8" s="0" t="s">
        <v>131</v>
      </c>
    </row>
    <row r="9" customFormat="false" ht="15" hidden="false" customHeight="false" outlineLevel="0" collapsed="false">
      <c r="B9" s="4" t="s">
        <v>67</v>
      </c>
      <c r="C9" s="0" t="s">
        <v>132</v>
      </c>
      <c r="E9" s="4" t="s">
        <v>90</v>
      </c>
      <c r="F9" s="0" t="s">
        <v>133</v>
      </c>
    </row>
    <row r="11" customFormat="false" ht="15" hidden="false" customHeight="false" outlineLevel="0" collapsed="false">
      <c r="B11" s="20" t="s">
        <v>92</v>
      </c>
      <c r="C11" s="20"/>
      <c r="D11" s="20"/>
      <c r="E11" s="20"/>
      <c r="F11" s="20"/>
      <c r="G11" s="20"/>
    </row>
    <row r="12" customFormat="false" ht="15" hidden="false" customHeight="false" outlineLevel="0" collapsed="false">
      <c r="B12" s="0" t="s">
        <v>33</v>
      </c>
      <c r="F12" s="21" t="n">
        <v>6000000</v>
      </c>
    </row>
    <row r="13" customFormat="false" ht="15" hidden="false" customHeight="false" outlineLevel="0" collapsed="false">
      <c r="B13" s="0" t="s">
        <v>66</v>
      </c>
      <c r="F13" s="21" t="n">
        <v>500000</v>
      </c>
    </row>
    <row r="14" customFormat="false" ht="15" hidden="false" customHeight="false" outlineLevel="0" collapsed="false">
      <c r="B14" s="0" t="s">
        <v>93</v>
      </c>
      <c r="F14" s="21" t="n">
        <v>807803</v>
      </c>
    </row>
    <row r="15" customFormat="false" ht="15" hidden="false" customHeight="false" outlineLevel="0" collapsed="false">
      <c r="B15" s="0" t="s">
        <v>134</v>
      </c>
      <c r="F15" s="21" t="n">
        <v>300578</v>
      </c>
    </row>
    <row r="16" customFormat="false" ht="15" hidden="false" customHeight="false" outlineLevel="0" collapsed="false">
      <c r="B16" s="0" t="s">
        <v>95</v>
      </c>
      <c r="F16" s="21" t="n">
        <v>113100</v>
      </c>
    </row>
    <row r="17" customFormat="false" ht="15" hidden="false" customHeight="false" outlineLevel="0" collapsed="false">
      <c r="B17" s="0" t="s">
        <v>96</v>
      </c>
      <c r="F17" s="21" t="n">
        <v>19500</v>
      </c>
    </row>
    <row r="18" customFormat="false" ht="15" hidden="false" customHeight="false" outlineLevel="0" collapsed="false">
      <c r="B18" s="0" t="s">
        <v>97</v>
      </c>
      <c r="F18" s="21" t="n">
        <v>130000</v>
      </c>
    </row>
    <row r="19" customFormat="false" ht="15" hidden="false" customHeight="false" outlineLevel="0" collapsed="false">
      <c r="B19" s="0" t="s">
        <v>98</v>
      </c>
      <c r="F19" s="21" t="n">
        <v>65000</v>
      </c>
    </row>
    <row r="20" customFormat="false" ht="15" hidden="false" customHeight="false" outlineLevel="0" collapsed="false">
      <c r="B20" s="0" t="s">
        <v>99</v>
      </c>
      <c r="F20" s="21" t="n">
        <v>260000</v>
      </c>
    </row>
    <row r="22" customFormat="false" ht="15" hidden="false" customHeight="false" outlineLevel="0" collapsed="false">
      <c r="B22" s="4" t="s">
        <v>100</v>
      </c>
      <c r="F22" s="22" t="n">
        <f aca="false">SUM(F12:F20)</f>
        <v>8195981</v>
      </c>
    </row>
    <row r="24" customFormat="false" ht="15" hidden="false" customHeight="false" outlineLevel="0" collapsed="false">
      <c r="B24" s="23" t="s">
        <v>101</v>
      </c>
      <c r="C24" s="23"/>
      <c r="D24" s="23"/>
      <c r="E24" s="23"/>
      <c r="F24" s="23"/>
      <c r="G24" s="23"/>
    </row>
    <row r="25" customFormat="false" ht="15" hidden="false" customHeight="false" outlineLevel="0" collapsed="false">
      <c r="B25" s="0" t="s">
        <v>102</v>
      </c>
      <c r="F25" s="21" t="n">
        <v>130000</v>
      </c>
    </row>
    <row r="26" customFormat="false" ht="15" hidden="false" customHeight="false" outlineLevel="0" collapsed="false">
      <c r="B26" s="0" t="s">
        <v>103</v>
      </c>
      <c r="F26" s="21" t="n">
        <v>65000</v>
      </c>
    </row>
    <row r="27" customFormat="false" ht="15" hidden="false" customHeight="false" outlineLevel="0" collapsed="false">
      <c r="B27" s="0" t="s">
        <v>104</v>
      </c>
      <c r="F27" s="21" t="n">
        <v>65000</v>
      </c>
    </row>
    <row r="28" customFormat="false" ht="15" hidden="false" customHeight="false" outlineLevel="0" collapsed="false">
      <c r="B28" s="0" t="s">
        <v>72</v>
      </c>
      <c r="F28" s="21" t="n">
        <v>0</v>
      </c>
    </row>
    <row r="29" customFormat="false" ht="15" hidden="false" customHeight="false" outlineLevel="0" collapsed="false">
      <c r="B29" s="0" t="s">
        <v>135</v>
      </c>
      <c r="F29" s="21" t="n">
        <v>0</v>
      </c>
    </row>
    <row r="31" customFormat="false" ht="15" hidden="false" customHeight="false" outlineLevel="0" collapsed="false">
      <c r="B31" s="4" t="s">
        <v>106</v>
      </c>
      <c r="F31" s="22" t="n">
        <f aca="false">SUM(F25:F29)</f>
        <v>260000</v>
      </c>
    </row>
    <row r="33" customFormat="false" ht="15" hidden="false" customHeight="false" outlineLevel="0" collapsed="false">
      <c r="B33" s="24" t="s">
        <v>107</v>
      </c>
      <c r="C33" s="24"/>
      <c r="D33" s="24"/>
      <c r="E33" s="24"/>
      <c r="F33" s="24"/>
      <c r="G33" s="24"/>
    </row>
    <row r="34" customFormat="false" ht="24.75" hidden="false" customHeight="true" outlineLevel="0" collapsed="false">
      <c r="B34" s="25" t="n">
        <f aca="false">F22-F31</f>
        <v>7935981</v>
      </c>
      <c r="C34" s="25"/>
      <c r="D34" s="25"/>
      <c r="E34" s="25"/>
      <c r="F34" s="25"/>
      <c r="G34" s="25"/>
    </row>
    <row r="37" customFormat="false" ht="15" hidden="false" customHeight="false" outlineLevel="0" collapsed="false">
      <c r="B37" s="4" t="s">
        <v>108</v>
      </c>
    </row>
    <row r="38" customFormat="false" ht="15" hidden="false" customHeight="false" outlineLevel="0" collapsed="false">
      <c r="B38" s="9" t="s">
        <v>109</v>
      </c>
      <c r="C38" s="9" t="s">
        <v>110</v>
      </c>
      <c r="D38" s="9" t="s">
        <v>111</v>
      </c>
      <c r="E38" s="9" t="s">
        <v>112</v>
      </c>
      <c r="F38" s="9" t="s">
        <v>113</v>
      </c>
      <c r="G38" s="9" t="s">
        <v>114</v>
      </c>
      <c r="H38" s="9" t="s">
        <v>44</v>
      </c>
    </row>
    <row r="39" customFormat="false" ht="15" hidden="false" customHeight="false" outlineLevel="0" collapsed="false">
      <c r="B39" s="11" t="s">
        <v>115</v>
      </c>
      <c r="C39" s="11" t="s">
        <v>116</v>
      </c>
      <c r="D39" s="11" t="s">
        <v>117</v>
      </c>
      <c r="E39" s="11" t="s">
        <v>136</v>
      </c>
      <c r="F39" s="11" t="s">
        <v>125</v>
      </c>
      <c r="G39" s="11" t="s">
        <v>137</v>
      </c>
      <c r="H39" s="11" t="s">
        <v>121</v>
      </c>
    </row>
    <row r="40" customFormat="false" ht="15" hidden="false" customHeight="false" outlineLevel="0" collapsed="false">
      <c r="B40" s="11" t="s">
        <v>122</v>
      </c>
      <c r="C40" s="11" t="s">
        <v>123</v>
      </c>
      <c r="D40" s="11" t="s">
        <v>117</v>
      </c>
      <c r="E40" s="11" t="s">
        <v>138</v>
      </c>
      <c r="F40" s="11" t="s">
        <v>125</v>
      </c>
      <c r="G40" s="11" t="s">
        <v>126</v>
      </c>
      <c r="H40" s="11" t="s">
        <v>127</v>
      </c>
    </row>
  </sheetData>
  <mergeCells count="7">
    <mergeCell ref="B2:G2"/>
    <mergeCell ref="B3:G3"/>
    <mergeCell ref="B4:G4"/>
    <mergeCell ref="B11:G11"/>
    <mergeCell ref="B24:G24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2" style="0" width="18"/>
  </cols>
  <sheetData>
    <row r="2" customFormat="false" ht="30" hidden="false" customHeight="true" outlineLevel="0" collapsed="false">
      <c r="B2" s="17" t="s">
        <v>78</v>
      </c>
      <c r="C2" s="17"/>
      <c r="D2" s="17"/>
      <c r="E2" s="17"/>
      <c r="F2" s="17"/>
      <c r="G2" s="17"/>
    </row>
    <row r="3" customFormat="false" ht="15" hidden="false" customHeight="false" outlineLevel="0" collapsed="false">
      <c r="B3" s="18" t="s">
        <v>1</v>
      </c>
      <c r="C3" s="18"/>
      <c r="D3" s="18"/>
      <c r="E3" s="18"/>
      <c r="F3" s="18"/>
      <c r="G3" s="18"/>
    </row>
    <row r="4" customFormat="false" ht="15" hidden="false" customHeight="false" outlineLevel="0" collapsed="false">
      <c r="B4" s="19" t="s">
        <v>79</v>
      </c>
      <c r="C4" s="19"/>
      <c r="D4" s="19"/>
      <c r="E4" s="19"/>
      <c r="F4" s="19"/>
      <c r="G4" s="19"/>
    </row>
    <row r="6" customFormat="false" ht="15" hidden="false" customHeight="false" outlineLevel="0" collapsed="false">
      <c r="B6" s="4" t="s">
        <v>32</v>
      </c>
      <c r="C6" s="0" t="s">
        <v>139</v>
      </c>
      <c r="E6" s="4" t="s">
        <v>81</v>
      </c>
      <c r="F6" s="0" t="s">
        <v>140</v>
      </c>
    </row>
    <row r="7" customFormat="false" ht="15" hidden="false" customHeight="false" outlineLevel="0" collapsed="false">
      <c r="B7" s="4" t="s">
        <v>64</v>
      </c>
      <c r="C7" s="0" t="s">
        <v>83</v>
      </c>
      <c r="E7" s="4" t="s">
        <v>65</v>
      </c>
      <c r="F7" s="0" t="s">
        <v>84</v>
      </c>
    </row>
    <row r="8" customFormat="false" ht="15" hidden="false" customHeight="false" outlineLevel="0" collapsed="false">
      <c r="B8" s="4" t="s">
        <v>85</v>
      </c>
      <c r="C8" s="0" t="s">
        <v>141</v>
      </c>
      <c r="E8" s="4" t="s">
        <v>87</v>
      </c>
      <c r="F8" s="0" t="s">
        <v>88</v>
      </c>
    </row>
    <row r="9" customFormat="false" ht="15" hidden="false" customHeight="false" outlineLevel="0" collapsed="false">
      <c r="B9" s="4" t="s">
        <v>67</v>
      </c>
      <c r="C9" s="0" t="s">
        <v>142</v>
      </c>
      <c r="E9" s="4" t="s">
        <v>143</v>
      </c>
      <c r="F9" s="0" t="s">
        <v>144</v>
      </c>
    </row>
    <row r="11" customFormat="false" ht="15" hidden="false" customHeight="false" outlineLevel="0" collapsed="false">
      <c r="B11" s="20" t="s">
        <v>92</v>
      </c>
      <c r="C11" s="20"/>
      <c r="D11" s="20"/>
      <c r="E11" s="20"/>
      <c r="F11" s="20"/>
      <c r="G11" s="20"/>
    </row>
    <row r="12" customFormat="false" ht="15" hidden="false" customHeight="false" outlineLevel="0" collapsed="false">
      <c r="B12" s="0" t="s">
        <v>33</v>
      </c>
      <c r="F12" s="21" t="n">
        <v>6300000</v>
      </c>
    </row>
    <row r="13" customFormat="false" ht="15" hidden="false" customHeight="false" outlineLevel="0" collapsed="false">
      <c r="B13" s="0" t="s">
        <v>66</v>
      </c>
      <c r="F13" s="21" t="n">
        <v>500000</v>
      </c>
    </row>
    <row r="14" customFormat="false" ht="15" hidden="false" customHeight="false" outlineLevel="0" collapsed="false">
      <c r="B14" s="0" t="s">
        <v>145</v>
      </c>
      <c r="F14" s="21" t="n">
        <v>923699</v>
      </c>
    </row>
    <row r="15" customFormat="false" ht="15" hidden="false" customHeight="false" outlineLevel="0" collapsed="false">
      <c r="B15" s="0" t="s">
        <v>94</v>
      </c>
      <c r="F15" s="21" t="n">
        <v>550289</v>
      </c>
    </row>
    <row r="16" customFormat="false" ht="15" hidden="false" customHeight="false" outlineLevel="0" collapsed="false">
      <c r="B16" s="0" t="s">
        <v>95</v>
      </c>
      <c r="F16" s="21" t="n">
        <v>118320</v>
      </c>
    </row>
    <row r="17" customFormat="false" ht="15" hidden="false" customHeight="false" outlineLevel="0" collapsed="false">
      <c r="B17" s="0" t="s">
        <v>96</v>
      </c>
      <c r="F17" s="21" t="n">
        <v>20400</v>
      </c>
    </row>
    <row r="18" customFormat="false" ht="15" hidden="false" customHeight="false" outlineLevel="0" collapsed="false">
      <c r="B18" s="0" t="s">
        <v>97</v>
      </c>
      <c r="F18" s="21" t="n">
        <v>136000</v>
      </c>
    </row>
    <row r="19" customFormat="false" ht="15" hidden="false" customHeight="false" outlineLevel="0" collapsed="false">
      <c r="B19" s="0" t="s">
        <v>98</v>
      </c>
      <c r="F19" s="21" t="n">
        <v>68000</v>
      </c>
    </row>
    <row r="20" customFormat="false" ht="15" hidden="false" customHeight="false" outlineLevel="0" collapsed="false">
      <c r="B20" s="0" t="s">
        <v>99</v>
      </c>
      <c r="F20" s="21" t="n">
        <v>272000</v>
      </c>
    </row>
    <row r="22" customFormat="false" ht="15" hidden="false" customHeight="false" outlineLevel="0" collapsed="false">
      <c r="B22" s="4" t="s">
        <v>100</v>
      </c>
      <c r="F22" s="22" t="n">
        <f aca="false">SUM(F12:F20)</f>
        <v>8888708</v>
      </c>
    </row>
    <row r="24" customFormat="false" ht="15" hidden="false" customHeight="false" outlineLevel="0" collapsed="false">
      <c r="B24" s="23" t="s">
        <v>101</v>
      </c>
      <c r="C24" s="23"/>
      <c r="D24" s="23"/>
      <c r="E24" s="23"/>
      <c r="F24" s="23"/>
      <c r="G24" s="23"/>
    </row>
    <row r="25" customFormat="false" ht="15" hidden="false" customHeight="false" outlineLevel="0" collapsed="false">
      <c r="B25" s="0" t="s">
        <v>102</v>
      </c>
      <c r="F25" s="21" t="n">
        <v>136000</v>
      </c>
    </row>
    <row r="26" customFormat="false" ht="15" hidden="false" customHeight="false" outlineLevel="0" collapsed="false">
      <c r="B26" s="0" t="s">
        <v>103</v>
      </c>
      <c r="F26" s="21" t="n">
        <v>68000</v>
      </c>
    </row>
    <row r="27" customFormat="false" ht="15" hidden="false" customHeight="false" outlineLevel="0" collapsed="false">
      <c r="B27" s="0" t="s">
        <v>104</v>
      </c>
      <c r="F27" s="21" t="n">
        <v>68000</v>
      </c>
    </row>
    <row r="28" customFormat="false" ht="15" hidden="false" customHeight="false" outlineLevel="0" collapsed="false">
      <c r="B28" s="0" t="s">
        <v>72</v>
      </c>
      <c r="F28" s="21" t="n">
        <v>0</v>
      </c>
    </row>
    <row r="29" customFormat="false" ht="15" hidden="false" customHeight="false" outlineLevel="0" collapsed="false">
      <c r="B29" s="0" t="s">
        <v>146</v>
      </c>
      <c r="F29" s="21" t="n">
        <v>816000</v>
      </c>
    </row>
    <row r="31" customFormat="false" ht="15" hidden="false" customHeight="false" outlineLevel="0" collapsed="false">
      <c r="B31" s="4" t="s">
        <v>106</v>
      </c>
      <c r="F31" s="22" t="n">
        <f aca="false">SUM(F25:F29)</f>
        <v>1088000</v>
      </c>
    </row>
    <row r="33" customFormat="false" ht="15" hidden="false" customHeight="false" outlineLevel="0" collapsed="false">
      <c r="B33" s="24" t="s">
        <v>107</v>
      </c>
      <c r="C33" s="24"/>
      <c r="D33" s="24"/>
      <c r="E33" s="24"/>
      <c r="F33" s="24"/>
      <c r="G33" s="24"/>
    </row>
    <row r="34" customFormat="false" ht="24.75" hidden="false" customHeight="true" outlineLevel="0" collapsed="false">
      <c r="B34" s="25" t="n">
        <f aca="false">F22-F31</f>
        <v>7800708</v>
      </c>
      <c r="C34" s="25"/>
      <c r="D34" s="25"/>
      <c r="E34" s="25"/>
      <c r="F34" s="25"/>
      <c r="G34" s="25"/>
    </row>
    <row r="37" customFormat="false" ht="15" hidden="false" customHeight="false" outlineLevel="0" collapsed="false">
      <c r="B37" s="4" t="s">
        <v>108</v>
      </c>
    </row>
    <row r="38" customFormat="false" ht="15" hidden="false" customHeight="false" outlineLevel="0" collapsed="false">
      <c r="B38" s="9" t="s">
        <v>109</v>
      </c>
      <c r="C38" s="9" t="s">
        <v>110</v>
      </c>
      <c r="D38" s="9" t="s">
        <v>111</v>
      </c>
      <c r="E38" s="9" t="s">
        <v>112</v>
      </c>
      <c r="F38" s="9" t="s">
        <v>113</v>
      </c>
      <c r="G38" s="9" t="s">
        <v>114</v>
      </c>
      <c r="H38" s="9" t="s">
        <v>44</v>
      </c>
    </row>
    <row r="39" customFormat="false" ht="15" hidden="false" customHeight="false" outlineLevel="0" collapsed="false">
      <c r="B39" s="11" t="s">
        <v>115</v>
      </c>
      <c r="C39" s="11" t="s">
        <v>116</v>
      </c>
      <c r="D39" s="11" t="s">
        <v>117</v>
      </c>
      <c r="E39" s="11" t="s">
        <v>118</v>
      </c>
      <c r="F39" s="11" t="s">
        <v>119</v>
      </c>
      <c r="G39" s="11" t="s">
        <v>120</v>
      </c>
      <c r="H39" s="11" t="s">
        <v>121</v>
      </c>
    </row>
    <row r="40" customFormat="false" ht="15" hidden="false" customHeight="false" outlineLevel="0" collapsed="false">
      <c r="B40" s="11" t="s">
        <v>122</v>
      </c>
      <c r="C40" s="11" t="s">
        <v>123</v>
      </c>
      <c r="D40" s="11" t="s">
        <v>117</v>
      </c>
      <c r="E40" s="11" t="s">
        <v>124</v>
      </c>
      <c r="F40" s="11" t="s">
        <v>125</v>
      </c>
      <c r="G40" s="11" t="s">
        <v>147</v>
      </c>
      <c r="H40" s="11" t="s">
        <v>127</v>
      </c>
    </row>
  </sheetData>
  <mergeCells count="7">
    <mergeCell ref="B2:G2"/>
    <mergeCell ref="B3:G3"/>
    <mergeCell ref="B4:G4"/>
    <mergeCell ref="B11:G11"/>
    <mergeCell ref="B24:G24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15"/>
    <col collapsed="false" customWidth="true" hidden="false" outlineLevel="0" max="6" min="4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8"/>
  </cols>
  <sheetData>
    <row r="2" customFormat="false" ht="30" hidden="false" customHeight="true" outlineLevel="0" collapsed="false">
      <c r="B2" s="17" t="s">
        <v>148</v>
      </c>
      <c r="C2" s="17"/>
      <c r="D2" s="17"/>
      <c r="E2" s="17"/>
      <c r="F2" s="17"/>
      <c r="G2" s="17"/>
      <c r="H2" s="17"/>
      <c r="I2" s="17"/>
      <c r="J2" s="17"/>
      <c r="K2" s="17"/>
    </row>
    <row r="4" customFormat="false" ht="15" hidden="false" customHeight="false" outlineLevel="0" collapsed="false">
      <c r="B4" s="4" t="s">
        <v>149</v>
      </c>
    </row>
    <row r="5" customFormat="false" ht="15" hidden="false" customHeight="false" outlineLevel="0" collapsed="false">
      <c r="B5" s="0" t="s">
        <v>150</v>
      </c>
    </row>
    <row r="6" customFormat="false" ht="15" hidden="false" customHeight="false" outlineLevel="0" collapsed="false">
      <c r="B6" s="0" t="s">
        <v>151</v>
      </c>
    </row>
    <row r="7" customFormat="false" ht="15" hidden="false" customHeight="false" outlineLevel="0" collapsed="false">
      <c r="B7" s="0" t="s">
        <v>152</v>
      </c>
    </row>
    <row r="10" customFormat="false" ht="15" hidden="false" customHeight="false" outlineLevel="0" collapsed="false">
      <c r="B10" s="20" t="s">
        <v>153</v>
      </c>
      <c r="C10" s="20"/>
      <c r="D10" s="20"/>
      <c r="E10" s="20"/>
      <c r="F10" s="20"/>
      <c r="G10" s="20"/>
      <c r="H10" s="20"/>
      <c r="I10" s="20"/>
      <c r="J10" s="20"/>
      <c r="K10" s="20"/>
    </row>
    <row r="11" customFormat="false" ht="15" hidden="false" customHeight="false" outlineLevel="0" collapsed="false">
      <c r="B11" s="0" t="s">
        <v>154</v>
      </c>
      <c r="D11" s="0" t="s">
        <v>155</v>
      </c>
      <c r="F11" s="0" t="s">
        <v>156</v>
      </c>
    </row>
    <row r="13" customFormat="false" ht="15" hidden="false" customHeight="false" outlineLevel="0" collapsed="false">
      <c r="B13" s="9" t="s">
        <v>109</v>
      </c>
      <c r="C13" s="9" t="s">
        <v>110</v>
      </c>
      <c r="D13" s="9" t="s">
        <v>111</v>
      </c>
      <c r="E13" s="9" t="s">
        <v>112</v>
      </c>
      <c r="F13" s="9" t="s">
        <v>157</v>
      </c>
      <c r="G13" s="9" t="s">
        <v>114</v>
      </c>
      <c r="H13" s="9" t="s">
        <v>158</v>
      </c>
      <c r="I13" s="9" t="s">
        <v>70</v>
      </c>
    </row>
    <row r="14" customFormat="false" ht="15" hidden="false" customHeight="false" outlineLevel="0" collapsed="false">
      <c r="B14" s="11" t="s">
        <v>115</v>
      </c>
      <c r="C14" s="11" t="s">
        <v>116</v>
      </c>
      <c r="D14" s="11" t="s">
        <v>117</v>
      </c>
      <c r="E14" s="11" t="s">
        <v>118</v>
      </c>
      <c r="F14" s="11" t="n">
        <v>1</v>
      </c>
      <c r="G14" s="11" t="n">
        <v>7</v>
      </c>
      <c r="H14" s="11" t="s">
        <v>159</v>
      </c>
      <c r="I14" s="16" t="n">
        <v>542196.531791908</v>
      </c>
    </row>
    <row r="15" customFormat="false" ht="15" hidden="false" customHeight="false" outlineLevel="0" collapsed="false">
      <c r="B15" s="11" t="s">
        <v>122</v>
      </c>
      <c r="C15" s="11" t="s">
        <v>123</v>
      </c>
      <c r="D15" s="11" t="s">
        <v>117</v>
      </c>
      <c r="E15" s="11" t="s">
        <v>124</v>
      </c>
      <c r="F15" s="11" t="n">
        <v>0</v>
      </c>
      <c r="G15" s="11" t="n">
        <v>11</v>
      </c>
      <c r="H15" s="11" t="s">
        <v>160</v>
      </c>
      <c r="I15" s="16" t="n">
        <v>832658.959537572</v>
      </c>
    </row>
    <row r="16" customFormat="false" ht="15" hidden="false" customHeight="false" outlineLevel="0" collapsed="false">
      <c r="G16" s="4" t="s">
        <v>161</v>
      </c>
      <c r="H16" s="8" t="n">
        <v>1374855.49132948</v>
      </c>
    </row>
    <row r="19" customFormat="false" ht="15" hidden="false" customHeight="false" outlineLevel="0" collapsed="false">
      <c r="B19" s="20" t="s">
        <v>162</v>
      </c>
      <c r="C19" s="20"/>
      <c r="D19" s="20"/>
      <c r="E19" s="20"/>
      <c r="F19" s="20"/>
      <c r="G19" s="20"/>
      <c r="H19" s="20"/>
      <c r="I19" s="20"/>
      <c r="J19" s="20"/>
      <c r="K19" s="20"/>
    </row>
    <row r="20" customFormat="false" ht="15" hidden="false" customHeight="false" outlineLevel="0" collapsed="false">
      <c r="B20" s="0" t="s">
        <v>163</v>
      </c>
      <c r="D20" s="0" t="s">
        <v>155</v>
      </c>
      <c r="F20" s="0" t="s">
        <v>164</v>
      </c>
    </row>
    <row r="22" customFormat="false" ht="15" hidden="false" customHeight="false" outlineLevel="0" collapsed="false">
      <c r="B22" s="9" t="s">
        <v>109</v>
      </c>
      <c r="C22" s="9" t="s">
        <v>110</v>
      </c>
      <c r="D22" s="9" t="s">
        <v>111</v>
      </c>
      <c r="E22" s="9" t="s">
        <v>112</v>
      </c>
      <c r="F22" s="9" t="s">
        <v>157</v>
      </c>
      <c r="G22" s="9" t="s">
        <v>114</v>
      </c>
      <c r="H22" s="9" t="s">
        <v>158</v>
      </c>
      <c r="I22" s="9" t="s">
        <v>70</v>
      </c>
    </row>
    <row r="23" customFormat="false" ht="15" hidden="false" customHeight="false" outlineLevel="0" collapsed="false">
      <c r="B23" s="11" t="s">
        <v>115</v>
      </c>
      <c r="C23" s="11" t="s">
        <v>116</v>
      </c>
      <c r="D23" s="11" t="s">
        <v>117</v>
      </c>
      <c r="E23" s="11" t="s">
        <v>136</v>
      </c>
      <c r="F23" s="11" t="n">
        <v>0</v>
      </c>
      <c r="G23" s="11" t="n">
        <v>4</v>
      </c>
      <c r="H23" s="11" t="s">
        <v>159</v>
      </c>
      <c r="I23" s="16" t="n">
        <v>300578.034682081</v>
      </c>
    </row>
    <row r="24" customFormat="false" ht="15" hidden="false" customHeight="false" outlineLevel="0" collapsed="false">
      <c r="B24" s="11" t="s">
        <v>122</v>
      </c>
      <c r="C24" s="11" t="s">
        <v>123</v>
      </c>
      <c r="D24" s="11" t="s">
        <v>117</v>
      </c>
      <c r="E24" s="11" t="s">
        <v>138</v>
      </c>
      <c r="F24" s="11" t="n">
        <v>0</v>
      </c>
      <c r="G24" s="11" t="n">
        <v>11</v>
      </c>
      <c r="H24" s="11" t="s">
        <v>160</v>
      </c>
      <c r="I24" s="16" t="n">
        <v>807803.468208092</v>
      </c>
    </row>
    <row r="25" customFormat="false" ht="15" hidden="false" customHeight="false" outlineLevel="0" collapsed="false">
      <c r="G25" s="4" t="s">
        <v>161</v>
      </c>
      <c r="H25" s="8" t="n">
        <v>1108381.50289017</v>
      </c>
    </row>
    <row r="28" customFormat="false" ht="15" hidden="false" customHeight="false" outlineLevel="0" collapsed="false">
      <c r="B28" s="20" t="s">
        <v>165</v>
      </c>
      <c r="C28" s="20"/>
      <c r="D28" s="20"/>
      <c r="E28" s="20"/>
      <c r="F28" s="20"/>
      <c r="G28" s="20"/>
      <c r="H28" s="20"/>
      <c r="I28" s="20"/>
      <c r="J28" s="20"/>
      <c r="K28" s="20"/>
    </row>
    <row r="29" customFormat="false" ht="15" hidden="false" customHeight="false" outlineLevel="0" collapsed="false">
      <c r="B29" s="0" t="s">
        <v>166</v>
      </c>
      <c r="D29" s="0" t="s">
        <v>155</v>
      </c>
      <c r="F29" s="0" t="s">
        <v>167</v>
      </c>
    </row>
    <row r="31" customFormat="false" ht="15" hidden="false" customHeight="false" outlineLevel="0" collapsed="false">
      <c r="B31" s="9" t="s">
        <v>109</v>
      </c>
      <c r="C31" s="9" t="s">
        <v>110</v>
      </c>
      <c r="D31" s="9" t="s">
        <v>111</v>
      </c>
      <c r="E31" s="9" t="s">
        <v>112</v>
      </c>
      <c r="F31" s="9" t="s">
        <v>157</v>
      </c>
      <c r="G31" s="9" t="s">
        <v>114</v>
      </c>
      <c r="H31" s="9" t="s">
        <v>158</v>
      </c>
      <c r="I31" s="9" t="s">
        <v>70</v>
      </c>
    </row>
    <row r="32" customFormat="false" ht="15" hidden="false" customHeight="false" outlineLevel="0" collapsed="false">
      <c r="B32" s="11" t="s">
        <v>115</v>
      </c>
      <c r="C32" s="11" t="s">
        <v>116</v>
      </c>
      <c r="D32" s="11" t="s">
        <v>117</v>
      </c>
      <c r="E32" s="11" t="s">
        <v>118</v>
      </c>
      <c r="F32" s="11" t="n">
        <v>1</v>
      </c>
      <c r="G32" s="11" t="n">
        <v>7</v>
      </c>
      <c r="H32" s="11" t="s">
        <v>159</v>
      </c>
      <c r="I32" s="16" t="n">
        <v>550289.01734104</v>
      </c>
    </row>
    <row r="33" customFormat="false" ht="15" hidden="false" customHeight="false" outlineLevel="0" collapsed="false">
      <c r="B33" s="11" t="s">
        <v>122</v>
      </c>
      <c r="C33" s="11" t="s">
        <v>123</v>
      </c>
      <c r="D33" s="11" t="s">
        <v>117</v>
      </c>
      <c r="E33" s="11" t="s">
        <v>124</v>
      </c>
      <c r="F33" s="11" t="n">
        <v>0</v>
      </c>
      <c r="G33" s="11" t="n">
        <v>12</v>
      </c>
      <c r="H33" s="11" t="s">
        <v>160</v>
      </c>
      <c r="I33" s="16" t="n">
        <v>923699.421965318</v>
      </c>
    </row>
    <row r="34" customFormat="false" ht="15" hidden="false" customHeight="false" outlineLevel="0" collapsed="false">
      <c r="G34" s="4" t="s">
        <v>161</v>
      </c>
      <c r="H34" s="8" t="n">
        <v>1473988.43930636</v>
      </c>
    </row>
  </sheetData>
  <mergeCells count="4">
    <mergeCell ref="B2:K2"/>
    <mergeCell ref="B10:K10"/>
    <mergeCell ref="B19:K19"/>
    <mergeCell ref="B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2" style="0" width="16"/>
  </cols>
  <sheetData>
    <row r="2" customFormat="false" ht="30" hidden="false" customHeight="true" outlineLevel="0" collapsed="false">
      <c r="B2" s="17" t="s">
        <v>168</v>
      </c>
      <c r="C2" s="17"/>
      <c r="D2" s="17"/>
      <c r="E2" s="17"/>
      <c r="F2" s="17"/>
      <c r="G2" s="17"/>
      <c r="H2" s="17"/>
      <c r="I2" s="17"/>
      <c r="J2" s="17"/>
      <c r="K2" s="17"/>
    </row>
    <row r="4" customFormat="false" ht="15" hidden="false" customHeight="false" outlineLevel="0" collapsed="false">
      <c r="B4" s="3" t="s">
        <v>169</v>
      </c>
    </row>
    <row r="5" customFormat="false" ht="34.5" hidden="false" customHeight="true" outlineLevel="0" collapsed="false">
      <c r="B5" s="15" t="s">
        <v>31</v>
      </c>
      <c r="C5" s="15" t="s">
        <v>32</v>
      </c>
      <c r="D5" s="15" t="s">
        <v>170</v>
      </c>
      <c r="E5" s="15" t="s">
        <v>171</v>
      </c>
      <c r="F5" s="15" t="s">
        <v>172</v>
      </c>
      <c r="G5" s="15" t="s">
        <v>173</v>
      </c>
      <c r="H5" s="15" t="s">
        <v>174</v>
      </c>
      <c r="I5" s="15" t="s">
        <v>175</v>
      </c>
      <c r="J5" s="15" t="s">
        <v>176</v>
      </c>
      <c r="K5" s="15" t="s">
        <v>177</v>
      </c>
      <c r="L5" s="15" t="s">
        <v>9</v>
      </c>
    </row>
    <row r="6" customFormat="false" ht="15" hidden="false" customHeight="false" outlineLevel="0" collapsed="false">
      <c r="B6" s="6" t="n">
        <v>1</v>
      </c>
      <c r="C6" s="6" t="s">
        <v>38</v>
      </c>
      <c r="D6" s="7" t="n">
        <v>6700000</v>
      </c>
      <c r="E6" s="7" t="n">
        <v>116580</v>
      </c>
      <c r="F6" s="7" t="n">
        <v>20100</v>
      </c>
      <c r="G6" s="7" t="n">
        <v>134000</v>
      </c>
      <c r="H6" s="7" t="n">
        <v>134000</v>
      </c>
      <c r="I6" s="7" t="n">
        <v>67000</v>
      </c>
      <c r="J6" s="7" t="n">
        <v>67000</v>
      </c>
      <c r="K6" s="7" t="n">
        <v>337680</v>
      </c>
      <c r="L6" s="7" t="n">
        <v>268000</v>
      </c>
    </row>
    <row r="7" customFormat="false" ht="15" hidden="false" customHeight="false" outlineLevel="0" collapsed="false">
      <c r="B7" s="6" t="n">
        <v>2</v>
      </c>
      <c r="C7" s="6" t="s">
        <v>39</v>
      </c>
      <c r="D7" s="7" t="n">
        <v>6500000</v>
      </c>
      <c r="E7" s="7" t="n">
        <v>113100</v>
      </c>
      <c r="F7" s="7" t="n">
        <v>19500</v>
      </c>
      <c r="G7" s="7" t="n">
        <v>130000</v>
      </c>
      <c r="H7" s="7" t="n">
        <v>130000</v>
      </c>
      <c r="I7" s="7" t="n">
        <v>65000</v>
      </c>
      <c r="J7" s="7" t="n">
        <v>65000</v>
      </c>
      <c r="K7" s="7" t="n">
        <v>327600</v>
      </c>
      <c r="L7" s="7" t="n">
        <v>260000</v>
      </c>
    </row>
    <row r="8" customFormat="false" ht="15" hidden="false" customHeight="false" outlineLevel="0" collapsed="false">
      <c r="B8" s="6" t="n">
        <v>3</v>
      </c>
      <c r="C8" s="6" t="s">
        <v>40</v>
      </c>
      <c r="D8" s="7" t="n">
        <v>6800000</v>
      </c>
      <c r="E8" s="7" t="n">
        <v>118320</v>
      </c>
      <c r="F8" s="7" t="n">
        <v>20400</v>
      </c>
      <c r="G8" s="7" t="n">
        <v>136000</v>
      </c>
      <c r="H8" s="7" t="n">
        <v>136000</v>
      </c>
      <c r="I8" s="7" t="n">
        <v>68000</v>
      </c>
      <c r="J8" s="7" t="n">
        <v>68000</v>
      </c>
      <c r="K8" s="7" t="n">
        <v>342720</v>
      </c>
      <c r="L8" s="7" t="n">
        <v>272000</v>
      </c>
    </row>
    <row r="9" customFormat="false" ht="15" hidden="false" customHeight="false" outlineLevel="0" collapsed="false">
      <c r="B9" s="4" t="s">
        <v>41</v>
      </c>
      <c r="D9" s="8" t="n">
        <f aca="false">SUM(D6:D8)</f>
        <v>20000000</v>
      </c>
      <c r="E9" s="8" t="n">
        <f aca="false">SUM(E6:E8)</f>
        <v>348000</v>
      </c>
      <c r="F9" s="8" t="n">
        <f aca="false">SUM(F6:F8)</f>
        <v>60000</v>
      </c>
      <c r="G9" s="8" t="n">
        <f aca="false">SUM(G6:G8)</f>
        <v>400000</v>
      </c>
      <c r="H9" s="8" t="n">
        <f aca="false">SUM(H6:H8)</f>
        <v>400000</v>
      </c>
      <c r="I9" s="8" t="n">
        <f aca="false">SUM(I6:I8)</f>
        <v>200000</v>
      </c>
      <c r="J9" s="8" t="n">
        <f aca="false">SUM(J6:J8)</f>
        <v>200000</v>
      </c>
      <c r="K9" s="8" t="n">
        <f aca="false">SUM(K6:K8)</f>
        <v>1008000</v>
      </c>
    </row>
    <row r="12" customFormat="false" ht="15" hidden="false" customHeight="false" outlineLevel="0" collapsed="false">
      <c r="B12" s="3" t="s">
        <v>178</v>
      </c>
    </row>
    <row r="13" customFormat="false" ht="15" hidden="false" customHeight="false" outlineLevel="0" collapsed="false">
      <c r="B13" s="5" t="s">
        <v>31</v>
      </c>
      <c r="C13" s="5" t="s">
        <v>32</v>
      </c>
      <c r="D13" s="5" t="s">
        <v>170</v>
      </c>
      <c r="E13" s="5" t="s">
        <v>179</v>
      </c>
      <c r="F13" s="5" t="s">
        <v>180</v>
      </c>
      <c r="G13" s="5" t="s">
        <v>181</v>
      </c>
    </row>
    <row r="14" customFormat="false" ht="15" hidden="false" customHeight="false" outlineLevel="0" collapsed="false">
      <c r="B14" s="6" t="n">
        <v>1</v>
      </c>
      <c r="C14" s="6" t="s">
        <v>38</v>
      </c>
      <c r="D14" s="7" t="n">
        <v>6700000</v>
      </c>
      <c r="E14" s="7" t="n">
        <v>268000</v>
      </c>
      <c r="F14" s="7" t="n">
        <v>67000</v>
      </c>
      <c r="G14" s="7" t="n">
        <v>335000</v>
      </c>
    </row>
    <row r="15" customFormat="false" ht="15" hidden="false" customHeight="false" outlineLevel="0" collapsed="false">
      <c r="B15" s="6" t="n">
        <v>2</v>
      </c>
      <c r="C15" s="6" t="s">
        <v>39</v>
      </c>
      <c r="D15" s="7" t="n">
        <v>6500000</v>
      </c>
      <c r="E15" s="7" t="n">
        <v>260000</v>
      </c>
      <c r="F15" s="7" t="n">
        <v>65000</v>
      </c>
      <c r="G15" s="7" t="n">
        <v>325000</v>
      </c>
    </row>
    <row r="16" customFormat="false" ht="15" hidden="false" customHeight="false" outlineLevel="0" collapsed="false">
      <c r="B16" s="6" t="n">
        <v>3</v>
      </c>
      <c r="C16" s="6" t="s">
        <v>40</v>
      </c>
      <c r="D16" s="7" t="n">
        <v>6800000</v>
      </c>
      <c r="E16" s="7" t="n">
        <v>272000</v>
      </c>
      <c r="F16" s="7" t="n">
        <v>68000</v>
      </c>
      <c r="G16" s="7" t="n">
        <v>340000</v>
      </c>
    </row>
    <row r="20" customFormat="false" ht="15" hidden="false" customHeight="false" outlineLevel="0" collapsed="false">
      <c r="B20" s="3" t="s">
        <v>182</v>
      </c>
    </row>
    <row r="21" customFormat="false" ht="39.75" hidden="false" customHeight="true" outlineLevel="0" collapsed="false">
      <c r="B21" s="15" t="s">
        <v>31</v>
      </c>
      <c r="C21" s="15" t="s">
        <v>32</v>
      </c>
      <c r="D21" s="15" t="s">
        <v>71</v>
      </c>
      <c r="E21" s="15" t="s">
        <v>183</v>
      </c>
      <c r="F21" s="15" t="s">
        <v>184</v>
      </c>
      <c r="G21" s="15" t="s">
        <v>185</v>
      </c>
      <c r="H21" s="15" t="s">
        <v>186</v>
      </c>
      <c r="I21" s="15" t="s">
        <v>187</v>
      </c>
      <c r="J21" s="15" t="s">
        <v>188</v>
      </c>
      <c r="K21" s="15" t="s">
        <v>189</v>
      </c>
      <c r="L21" s="15" t="s">
        <v>190</v>
      </c>
    </row>
    <row r="22" customFormat="false" ht="15" hidden="false" customHeight="false" outlineLevel="0" collapsed="false">
      <c r="B22" s="6" t="n">
        <v>1</v>
      </c>
      <c r="C22" s="6" t="s">
        <v>38</v>
      </c>
      <c r="D22" s="7" t="n">
        <v>7582512</v>
      </c>
      <c r="E22" s="7" t="n">
        <v>379126</v>
      </c>
      <c r="F22" s="7" t="n">
        <v>268000</v>
      </c>
      <c r="G22" s="7" t="n">
        <v>6935386</v>
      </c>
      <c r="H22" s="7" t="n">
        <v>83224632</v>
      </c>
      <c r="I22" s="7" t="n">
        <v>67500000</v>
      </c>
      <c r="J22" s="7" t="n">
        <v>15724632</v>
      </c>
      <c r="K22" s="7" t="n">
        <v>786232</v>
      </c>
      <c r="L22" s="7" t="n">
        <v>65519</v>
      </c>
    </row>
    <row r="23" customFormat="false" ht="15" hidden="false" customHeight="false" outlineLevel="0" collapsed="false">
      <c r="B23" s="6" t="n">
        <v>2</v>
      </c>
      <c r="C23" s="6" t="s">
        <v>39</v>
      </c>
      <c r="D23" s="7" t="n">
        <v>7656087</v>
      </c>
      <c r="E23" s="7" t="n">
        <v>382804</v>
      </c>
      <c r="F23" s="7" t="n">
        <v>260000</v>
      </c>
      <c r="G23" s="7" t="n">
        <v>7013283</v>
      </c>
      <c r="H23" s="7" t="n">
        <v>84159396</v>
      </c>
      <c r="I23" s="7" t="n">
        <v>67500000</v>
      </c>
      <c r="J23" s="7" t="n">
        <v>16659396</v>
      </c>
      <c r="K23" s="7" t="n">
        <v>832985</v>
      </c>
      <c r="L23" s="7" t="n">
        <v>69415</v>
      </c>
    </row>
    <row r="24" customFormat="false" ht="15" hidden="false" customHeight="false" outlineLevel="0" collapsed="false">
      <c r="B24" s="6" t="n">
        <v>3</v>
      </c>
      <c r="C24" s="6" t="s">
        <v>40</v>
      </c>
      <c r="D24" s="7" t="n">
        <v>7852474</v>
      </c>
      <c r="E24" s="7" t="n">
        <v>392624</v>
      </c>
      <c r="F24" s="7" t="n">
        <v>272000</v>
      </c>
      <c r="G24" s="7" t="n">
        <v>7187850</v>
      </c>
      <c r="H24" s="7" t="n">
        <v>86254200</v>
      </c>
      <c r="I24" s="7" t="n">
        <v>63000000</v>
      </c>
      <c r="J24" s="7" t="n">
        <v>23254200</v>
      </c>
      <c r="K24" s="7" t="n">
        <v>1162710</v>
      </c>
      <c r="L24" s="7" t="n">
        <v>96893</v>
      </c>
    </row>
    <row r="27" customFormat="false" ht="15" hidden="false" customHeight="false" outlineLevel="0" collapsed="false">
      <c r="B27" s="4" t="s">
        <v>191</v>
      </c>
    </row>
    <row r="28" customFormat="false" ht="15" hidden="false" customHeight="false" outlineLevel="0" collapsed="false">
      <c r="B28" s="4" t="s">
        <v>192</v>
      </c>
      <c r="C28" s="0" t="s">
        <v>193</v>
      </c>
    </row>
    <row r="29" customFormat="false" ht="15" hidden="false" customHeight="false" outlineLevel="0" collapsed="false">
      <c r="B29" s="4" t="s">
        <v>194</v>
      </c>
      <c r="C29" s="0" t="s">
        <v>195</v>
      </c>
    </row>
    <row r="30" customFormat="false" ht="15" hidden="false" customHeight="false" outlineLevel="0" collapsed="false">
      <c r="B30" s="4" t="s">
        <v>196</v>
      </c>
      <c r="C30" s="0" t="s">
        <v>197</v>
      </c>
    </row>
    <row r="31" customFormat="false" ht="15" hidden="false" customHeight="false" outlineLevel="0" collapsed="false">
      <c r="B31" s="4"/>
    </row>
    <row r="32" customFormat="false" ht="15" hidden="false" customHeight="false" outlineLevel="0" collapsed="false">
      <c r="B32" s="4" t="s">
        <v>198</v>
      </c>
      <c r="C32" s="0" t="s">
        <v>199</v>
      </c>
    </row>
    <row r="33" customFormat="false" ht="15" hidden="false" customHeight="false" outlineLevel="0" collapsed="false">
      <c r="B33" s="4" t="s">
        <v>200</v>
      </c>
      <c r="C33" s="0" t="s">
        <v>201</v>
      </c>
    </row>
    <row r="36" customFormat="false" ht="15" hidden="false" customHeight="false" outlineLevel="0" collapsed="false">
      <c r="B36" s="4" t="s">
        <v>202</v>
      </c>
    </row>
    <row r="37" customFormat="false" ht="15" hidden="false" customHeight="false" outlineLevel="0" collapsed="false">
      <c r="B37" s="4" t="s">
        <v>203</v>
      </c>
      <c r="C37" s="0" t="s">
        <v>204</v>
      </c>
      <c r="D37" s="0" t="s">
        <v>205</v>
      </c>
    </row>
    <row r="38" customFormat="false" ht="15" hidden="false" customHeight="false" outlineLevel="0" collapsed="false">
      <c r="B38" s="4" t="s">
        <v>206</v>
      </c>
      <c r="C38" s="0" t="s">
        <v>207</v>
      </c>
      <c r="D38" s="0" t="s">
        <v>208</v>
      </c>
    </row>
    <row r="39" customFormat="false" ht="15" hidden="false" customHeight="false" outlineLevel="0" collapsed="false">
      <c r="B39" s="4" t="s">
        <v>209</v>
      </c>
      <c r="C39" s="0" t="s">
        <v>210</v>
      </c>
      <c r="D39" s="0" t="s">
        <v>211</v>
      </c>
    </row>
    <row r="40" customFormat="false" ht="15" hidden="false" customHeight="false" outlineLevel="0" collapsed="false">
      <c r="B40" s="4" t="s">
        <v>212</v>
      </c>
      <c r="C40" s="0" t="s">
        <v>213</v>
      </c>
      <c r="D40" s="0" t="s">
        <v>214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2026-03-02T14:14:03Z</dcterms:created>
  <dc:creator>openpyxl</dc:creator>
  <dc:description/>
  <dc:language>en-US</dc:language>
  <cp:lastModifiedBy/>
  <dcterms:modified xsi:type="dcterms:W3CDTF">2026-03-02T14:19:19Z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